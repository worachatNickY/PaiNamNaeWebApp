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<sst xmlns="http://schemas.openxmlformats.org/spreadsheetml/2006/main" count="82" uniqueCount="61">
  <si>
    <t>Volunteer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</si>
  <si>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</si>
  <si>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</si>
  <si>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</si>
  <si>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</si>
  <si>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</si>
  <si>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No.</t>
  </si>
  <si>
    <t>name</t>
  </si>
  <si>
    <t>Student No.</t>
  </si>
  <si>
    <t>นายธรานนท์ สุขตัว</t>
  </si>
  <si>
    <t>663380387-3</t>
  </si>
  <si>
    <t>10. As a driver, I want to send a message to a passenger without revealing too much personal information so that I can communicate with them in a safer manner</t>
  </si>
  <si>
    <t>A-DAPT Blueprint</t>
  </si>
  <si>
    <t>พชธกร,อติชาติ</t>
  </si>
  <si>
    <t>นายพชธกร ไพรนารี</t>
  </si>
  <si>
    <t>663380607-5</t>
  </si>
  <si>
    <t>Frontend:Chat UI</t>
  </si>
  <si>
    <t>วรชาติ</t>
  </si>
  <si>
    <t>นายอติชาติ  คงอนันต์</t>
  </si>
  <si>
    <t>663380410-4</t>
  </si>
  <si>
    <t>Frontend:Send Text Message</t>
  </si>
  <si>
    <t>นางสาวปิยะพร ภูแต้มนิล</t>
  </si>
  <si>
    <t>643021425-1</t>
  </si>
  <si>
    <t>Frontend:Reply Message</t>
  </si>
  <si>
    <t>นายวรชาติ ปัญญา</t>
  </si>
  <si>
    <t>663380399-6</t>
  </si>
  <si>
    <t>Frontend:Empty Message Validation</t>
  </si>
  <si>
    <t>นายกิตติพงษ์ โครตสา</t>
  </si>
  <si>
    <t>663380588-3</t>
  </si>
  <si>
    <t>Frontend:Ride Completed Disable Logic</t>
  </si>
  <si>
    <t>Frontend:Location Share Confirmation Dialog</t>
  </si>
  <si>
    <t>Team velocity=</t>
  </si>
  <si>
    <t>Frontend:Location Cancel Logic</t>
  </si>
  <si>
    <t>Frontend:Image Send Confirmation Dialog</t>
  </si>
  <si>
    <t xml:space="preserve">Burn down chart </t>
  </si>
  <si>
    <t>Day</t>
  </si>
  <si>
    <t>Frontend:Image Cancel Logic</t>
  </si>
  <si>
    <t>Actual</t>
  </si>
  <si>
    <t>Frontend:Render Message Types (text/image/location)</t>
  </si>
  <si>
    <t>ldeal</t>
  </si>
  <si>
    <t>Backend &amp; API:POST API /messages</t>
  </si>
  <si>
    <t>Backend &amp; API:GET API /messages by ride</t>
  </si>
  <si>
    <t>Backend &amp; API:Ride Status Check</t>
  </si>
  <si>
    <t>Backend &amp; API:Message Validation</t>
  </si>
  <si>
    <t>Backend &amp; API:Private Information Filter</t>
  </si>
  <si>
    <t>Backend &amp; API:Save Message Logic</t>
  </si>
  <si>
    <t>Backend &amp; API:Send Location Logic</t>
  </si>
  <si>
    <t>Backend &amp; API:Send Image Logic</t>
  </si>
  <si>
    <t>Backend &amp; API:Notification Trigger</t>
  </si>
  <si>
    <t>Database:Design messages/media/location schema</t>
  </si>
  <si>
    <t>Testing/robot</t>
  </si>
  <si>
    <t>ธรานนท์์,กิตติพงษ์</t>
  </si>
  <si>
    <t>Test Report</t>
  </si>
  <si>
    <t>User Manual</t>
  </si>
  <si>
    <t>พชธกร</t>
  </si>
  <si>
    <t>Change Log</t>
  </si>
  <si>
    <t>กิตติพงษ์</t>
  </si>
  <si>
    <t>Sprint Backlog</t>
  </si>
  <si>
    <t>อติชาติ</t>
  </si>
  <si>
    <t>รวม</t>
  </si>
  <si>
    <t>Day0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</si>
</sst>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7.0"/>
      <color theme="1"/>
      <name val="Sarabun"/>
    </font>
    <font/>
    <font>
      <sz val="17.0"/>
      <color theme="1"/>
      <name val="Sarabun"/>
    </font>
    <font>
      <color theme="1"/>
      <name val="Arial"/>
      <scheme val="minor"/>
    </font>
    <font>
      <sz val="17.0"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vertical="bottom"/>
    </xf>
    <xf borderId="5" fillId="0" fontId="4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vertical="bottom"/>
    </xf>
    <xf borderId="6" fillId="0" fontId="3" numFmtId="0" xfId="0" applyBorder="1" applyFont="1"/>
    <xf borderId="6" fillId="0" fontId="2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vertical="bottom"/>
    </xf>
    <xf borderId="0" fillId="0" fontId="1" numFmtId="0" xfId="0" applyFont="1"/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5" fillId="0" fontId="4" numFmtId="0" xfId="0" applyAlignment="1" applyBorder="1" applyFont="1">
      <alignment horizontal="center" readingOrder="0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และ ldeal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'ชีต1'!$O$15:$P$15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'ชีต1'!$Q$14:$X$14</c:f>
            </c:strRef>
          </c:cat>
          <c:val>
            <c:numRef>
              <c:f>'ชีต1'!$Q$15:$X$15</c:f>
              <c:numCache/>
            </c:numRef>
          </c:val>
          <c:smooth val="0"/>
        </c:ser>
        <c:ser>
          <c:idx val="1"/>
          <c:order val="1"/>
          <c:tx>
            <c:strRef>
              <c:f>'ชีต1'!$O$16:$P$16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'ชีต1'!$Q$14:$X$14</c:f>
            </c:strRef>
          </c:cat>
          <c:val>
            <c:numRef>
              <c:f>'ชีต1'!$Q$16:$X$16</c:f>
              <c:numCache/>
            </c:numRef>
          </c:val>
          <c:smooth val="0"/>
        </c:ser>
        <c:axId val="1404831155"/>
        <c:axId val="2003122132"/>
      </c:lineChart>
      <c:catAx>
        <c:axId val="1404831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122132"/>
      </c:catAx>
      <c:valAx>
        <c:axId val="2003122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831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400050</xdr:colOff>
      <xdr:row>16</xdr:row>
      <xdr:rowOff>209550</xdr:rowOff>
    </xdr:from>
    <xdr:ext cx="9429750" cy="582930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63"/>
    <col customWidth="1" min="3" max="3" width="80.63"/>
    <col customWidth="1" min="15" max="15" width="23.5"/>
    <col customWidth="1" min="16" max="16" width="31.0"/>
    <col customWidth="1" min="17" max="17" width="2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 t="s">
        <v>0</v>
      </c>
      <c r="P3" s="3"/>
      <c r="Q3" s="4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</v>
      </c>
      <c r="B4" s="5" t="s">
        <v>2</v>
      </c>
      <c r="C4" s="5" t="s">
        <v>3</v>
      </c>
      <c r="D4" s="6" t="s">
        <v>0</v>
      </c>
      <c r="E4" s="5" t="s">
        <v>4</v>
      </c>
      <c r="F4" s="7" t="s">
        <v>5</v>
      </c>
      <c r="G4" s="3"/>
      <c r="H4" s="3"/>
      <c r="I4" s="3"/>
      <c r="J4" s="3"/>
      <c r="K4" s="3"/>
      <c r="L4" s="8"/>
      <c r="M4" s="1"/>
      <c r="N4" s="1"/>
      <c r="O4" s="9" t="s">
        <v>6</v>
      </c>
      <c r="P4" s="10" t="s">
        <v>7</v>
      </c>
      <c r="Q4" s="11" t="s">
        <v>8</v>
      </c>
      <c r="R4" s="1"/>
      <c r="S4" s="1"/>
      <c r="T4" s="1"/>
      <c r="U4" s="1"/>
      <c r="V4" s="1"/>
      <c r="W4" s="1"/>
      <c r="X4" s="1"/>
      <c r="Y4" s="1"/>
      <c r="Z4" s="1"/>
    </row>
    <row r="5">
      <c r="A5" s="12"/>
      <c r="B5" s="12"/>
      <c r="C5" s="12"/>
      <c r="D5" s="12"/>
      <c r="E5" s="12"/>
      <c r="F5" s="13">
        <v>1.0</v>
      </c>
      <c r="G5" s="13">
        <v>2.0</v>
      </c>
      <c r="H5" s="13">
        <v>3.0</v>
      </c>
      <c r="I5" s="13">
        <v>4.0</v>
      </c>
      <c r="J5" s="13">
        <v>5.0</v>
      </c>
      <c r="K5" s="13">
        <v>6.0</v>
      </c>
      <c r="L5" s="13">
        <v>7.0</v>
      </c>
      <c r="M5" s="1"/>
      <c r="N5" s="1"/>
      <c r="O5" s="9">
        <v>1.0</v>
      </c>
      <c r="P5" s="14" t="s">
        <v>9</v>
      </c>
      <c r="Q5" s="14" t="s">
        <v>10</v>
      </c>
      <c r="R5" s="15"/>
      <c r="S5" s="1"/>
      <c r="T5" s="1"/>
      <c r="U5" s="1"/>
      <c r="V5" s="1"/>
      <c r="W5" s="1"/>
      <c r="X5" s="1"/>
      <c r="Y5" s="1"/>
      <c r="Z5" s="1"/>
    </row>
    <row r="6">
      <c r="A6" s="16">
        <v>1.0</v>
      </c>
      <c r="B6" s="17" t="s">
        <v>11</v>
      </c>
      <c r="C6" s="18" t="s">
        <v>12</v>
      </c>
      <c r="D6" s="19" t="s">
        <v>13</v>
      </c>
      <c r="E6" s="20">
        <v>4.0</v>
      </c>
      <c r="F6" s="20">
        <v>4.0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1"/>
      <c r="N6" s="1"/>
      <c r="O6" s="9">
        <v>2.0</v>
      </c>
      <c r="P6" s="14" t="s">
        <v>14</v>
      </c>
      <c r="Q6" s="14" t="s">
        <v>15</v>
      </c>
      <c r="R6" s="15"/>
      <c r="S6" s="1"/>
      <c r="T6" s="1"/>
      <c r="U6" s="1"/>
      <c r="V6" s="1"/>
      <c r="W6" s="1"/>
      <c r="X6" s="1"/>
      <c r="Y6" s="1"/>
      <c r="Z6" s="1"/>
    </row>
    <row r="7">
      <c r="A7" s="21"/>
      <c r="B7" s="21"/>
      <c r="C7" s="18" t="s">
        <v>16</v>
      </c>
      <c r="D7" s="20" t="s">
        <v>17</v>
      </c>
      <c r="E7" s="19">
        <v>6.0</v>
      </c>
      <c r="F7" s="19">
        <v>6.0</v>
      </c>
      <c r="G7" s="19">
        <v>6.0</v>
      </c>
      <c r="H7" s="19">
        <v>6.0</v>
      </c>
      <c r="I7" s="19">
        <v>6.0</v>
      </c>
      <c r="J7" s="19">
        <v>6.0</v>
      </c>
      <c r="K7" s="19">
        <v>0.0</v>
      </c>
      <c r="L7" s="20">
        <v>0.0</v>
      </c>
      <c r="M7" s="1"/>
      <c r="N7" s="1"/>
      <c r="O7" s="9">
        <v>3.0</v>
      </c>
      <c r="P7" s="14" t="s">
        <v>18</v>
      </c>
      <c r="Q7" s="14" t="s">
        <v>19</v>
      </c>
      <c r="R7" s="1"/>
      <c r="S7" s="1"/>
      <c r="T7" s="1"/>
      <c r="U7" s="1"/>
      <c r="V7" s="1"/>
      <c r="W7" s="1"/>
      <c r="X7" s="1"/>
      <c r="Y7" s="1"/>
      <c r="Z7" s="1"/>
    </row>
    <row r="8">
      <c r="A8" s="21"/>
      <c r="B8" s="21"/>
      <c r="C8" s="18" t="s">
        <v>20</v>
      </c>
      <c r="D8" s="20" t="s">
        <v>17</v>
      </c>
      <c r="E8" s="19">
        <v>3.0</v>
      </c>
      <c r="F8" s="19">
        <v>3.0</v>
      </c>
      <c r="G8" s="19">
        <v>3.0</v>
      </c>
      <c r="H8" s="19">
        <v>3.0</v>
      </c>
      <c r="I8" s="19">
        <v>3.0</v>
      </c>
      <c r="J8" s="19">
        <v>3.0</v>
      </c>
      <c r="K8" s="19">
        <v>0.0</v>
      </c>
      <c r="L8" s="20">
        <v>0.0</v>
      </c>
      <c r="M8" s="1"/>
      <c r="N8" s="1"/>
      <c r="O8" s="9">
        <v>4.0</v>
      </c>
      <c r="P8" s="14" t="s">
        <v>21</v>
      </c>
      <c r="Q8" s="14" t="s">
        <v>22</v>
      </c>
      <c r="R8" s="1"/>
      <c r="S8" s="1"/>
      <c r="T8" s="1"/>
      <c r="U8" s="1"/>
      <c r="V8" s="1"/>
      <c r="W8" s="1"/>
      <c r="X8" s="1"/>
      <c r="Y8" s="1"/>
      <c r="Z8" s="1"/>
    </row>
    <row r="9">
      <c r="A9" s="21"/>
      <c r="B9" s="21"/>
      <c r="C9" s="18" t="s">
        <v>23</v>
      </c>
      <c r="D9" s="20" t="s">
        <v>17</v>
      </c>
      <c r="E9" s="19">
        <v>2.0</v>
      </c>
      <c r="F9" s="19">
        <v>2.0</v>
      </c>
      <c r="G9" s="19">
        <v>2.0</v>
      </c>
      <c r="H9" s="19">
        <v>2.0</v>
      </c>
      <c r="I9" s="19">
        <v>2.0</v>
      </c>
      <c r="J9" s="19">
        <v>2.0</v>
      </c>
      <c r="K9" s="19">
        <v>0.0</v>
      </c>
      <c r="L9" s="20">
        <v>0.0</v>
      </c>
      <c r="M9" s="1"/>
      <c r="N9" s="1"/>
      <c r="O9" s="9">
        <v>5.0</v>
      </c>
      <c r="P9" s="14" t="s">
        <v>24</v>
      </c>
      <c r="Q9" s="14" t="s">
        <v>25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21"/>
      <c r="B10" s="21"/>
      <c r="C10" s="18" t="s">
        <v>26</v>
      </c>
      <c r="D10" s="20" t="s">
        <v>17</v>
      </c>
      <c r="E10" s="19">
        <v>2.0</v>
      </c>
      <c r="F10" s="19">
        <v>2.0</v>
      </c>
      <c r="G10" s="19">
        <v>2.0</v>
      </c>
      <c r="H10" s="19">
        <v>2.0</v>
      </c>
      <c r="I10" s="19">
        <v>2.0</v>
      </c>
      <c r="J10" s="19">
        <v>2.0</v>
      </c>
      <c r="K10" s="19">
        <v>0.0</v>
      </c>
      <c r="L10" s="20">
        <v>0.0</v>
      </c>
      <c r="M10" s="1"/>
      <c r="N10" s="1"/>
      <c r="O10" s="9">
        <v>6.0</v>
      </c>
      <c r="P10" s="14" t="s">
        <v>27</v>
      </c>
      <c r="Q10" s="14" t="s">
        <v>28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21"/>
      <c r="B11" s="21"/>
      <c r="C11" s="18" t="s">
        <v>29</v>
      </c>
      <c r="D11" s="20" t="s">
        <v>17</v>
      </c>
      <c r="E11" s="19">
        <v>2.0</v>
      </c>
      <c r="F11" s="20">
        <v>2.0</v>
      </c>
      <c r="G11" s="20">
        <v>2.0</v>
      </c>
      <c r="H11" s="20">
        <v>2.0</v>
      </c>
      <c r="I11" s="20">
        <v>2.0</v>
      </c>
      <c r="J11" s="20">
        <v>2.0</v>
      </c>
      <c r="K11" s="19">
        <v>0.0</v>
      </c>
      <c r="L11" s="20">
        <v>0.0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/>
      <c r="B12" s="21"/>
      <c r="C12" s="18" t="s">
        <v>30</v>
      </c>
      <c r="D12" s="20" t="s">
        <v>17</v>
      </c>
      <c r="E12" s="19">
        <v>2.0</v>
      </c>
      <c r="F12" s="19">
        <v>2.0</v>
      </c>
      <c r="G12" s="19">
        <v>2.0</v>
      </c>
      <c r="H12" s="19">
        <v>2.0</v>
      </c>
      <c r="I12" s="19">
        <v>2.0</v>
      </c>
      <c r="J12" s="19">
        <v>2.0</v>
      </c>
      <c r="K12" s="19">
        <v>0.0</v>
      </c>
      <c r="L12" s="20">
        <v>0.0</v>
      </c>
      <c r="M12" s="1"/>
      <c r="N12" s="1"/>
      <c r="O12" s="22" t="s">
        <v>31</v>
      </c>
      <c r="P12" s="22">
        <v>108.0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/>
      <c r="B13" s="21"/>
      <c r="C13" s="18" t="s">
        <v>32</v>
      </c>
      <c r="D13" s="20" t="s">
        <v>17</v>
      </c>
      <c r="E13" s="19">
        <v>2.0</v>
      </c>
      <c r="F13" s="19">
        <v>2.0</v>
      </c>
      <c r="G13" s="19">
        <v>2.0</v>
      </c>
      <c r="H13" s="19">
        <v>2.0</v>
      </c>
      <c r="I13" s="19">
        <v>2.0</v>
      </c>
      <c r="J13" s="19">
        <v>2.0</v>
      </c>
      <c r="K13" s="19">
        <v>0.0</v>
      </c>
      <c r="L13" s="20">
        <v>0.0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/>
      <c r="B14" s="21"/>
      <c r="C14" s="18" t="s">
        <v>33</v>
      </c>
      <c r="D14" s="20" t="s">
        <v>17</v>
      </c>
      <c r="E14" s="19">
        <v>3.0</v>
      </c>
      <c r="F14" s="19">
        <v>3.0</v>
      </c>
      <c r="G14" s="19">
        <v>3.0</v>
      </c>
      <c r="H14" s="19">
        <v>3.0</v>
      </c>
      <c r="I14" s="19">
        <v>3.0</v>
      </c>
      <c r="J14" s="19">
        <v>3.0</v>
      </c>
      <c r="K14" s="19">
        <v>0.0</v>
      </c>
      <c r="L14" s="20">
        <v>0.0</v>
      </c>
      <c r="M14" s="1"/>
      <c r="N14" s="1"/>
      <c r="O14" s="22" t="s">
        <v>34</v>
      </c>
      <c r="P14" s="1" t="s">
        <v>35</v>
      </c>
      <c r="Q14" s="23">
        <v>0.0</v>
      </c>
      <c r="R14" s="23">
        <v>1.0</v>
      </c>
      <c r="S14" s="23">
        <v>2.0</v>
      </c>
      <c r="T14" s="23">
        <v>3.0</v>
      </c>
      <c r="U14" s="23">
        <v>4.0</v>
      </c>
      <c r="V14" s="23">
        <v>5.0</v>
      </c>
      <c r="W14" s="23">
        <v>6.0</v>
      </c>
      <c r="X14" s="23">
        <v>7.0</v>
      </c>
      <c r="Y14" s="1"/>
      <c r="Z14" s="1"/>
    </row>
    <row r="15">
      <c r="A15" s="21"/>
      <c r="B15" s="21"/>
      <c r="C15" s="18" t="s">
        <v>36</v>
      </c>
      <c r="D15" s="20" t="s">
        <v>17</v>
      </c>
      <c r="E15" s="19">
        <v>2.0</v>
      </c>
      <c r="F15" s="19">
        <v>2.0</v>
      </c>
      <c r="G15" s="19">
        <v>2.0</v>
      </c>
      <c r="H15" s="19">
        <v>2.0</v>
      </c>
      <c r="I15" s="19">
        <v>2.0</v>
      </c>
      <c r="J15" s="19">
        <v>2.0</v>
      </c>
      <c r="K15" s="19">
        <v>0.0</v>
      </c>
      <c r="L15" s="20">
        <v>0.0</v>
      </c>
      <c r="M15" s="1"/>
      <c r="N15" s="1"/>
      <c r="O15" s="1"/>
      <c r="P15" s="1" t="s">
        <v>37</v>
      </c>
      <c r="Q15" s="23">
        <f t="shared" ref="Q15:X15" si="1">SUM(F6:F31)</f>
        <v>84</v>
      </c>
      <c r="R15" s="23">
        <f t="shared" si="1"/>
        <v>80</v>
      </c>
      <c r="S15" s="23">
        <f t="shared" si="1"/>
        <v>76</v>
      </c>
      <c r="T15" s="23">
        <f t="shared" si="1"/>
        <v>76</v>
      </c>
      <c r="U15" s="23">
        <f t="shared" si="1"/>
        <v>76</v>
      </c>
      <c r="V15" s="23">
        <f t="shared" si="1"/>
        <v>12</v>
      </c>
      <c r="W15" s="23">
        <f t="shared" si="1"/>
        <v>0</v>
      </c>
      <c r="X15" s="23">
        <f t="shared" si="1"/>
        <v>0</v>
      </c>
      <c r="Y15" s="1"/>
      <c r="Z15" s="1"/>
    </row>
    <row r="16">
      <c r="A16" s="21"/>
      <c r="B16" s="21"/>
      <c r="C16" s="18" t="s">
        <v>38</v>
      </c>
      <c r="D16" s="20" t="s">
        <v>17</v>
      </c>
      <c r="E16" s="19">
        <v>3.0</v>
      </c>
      <c r="F16" s="19">
        <v>3.0</v>
      </c>
      <c r="G16" s="19">
        <v>3.0</v>
      </c>
      <c r="H16" s="19">
        <v>3.0</v>
      </c>
      <c r="I16" s="19">
        <v>3.0</v>
      </c>
      <c r="J16" s="19">
        <v>3.0</v>
      </c>
      <c r="K16" s="19">
        <v>0.0</v>
      </c>
      <c r="L16" s="20">
        <v>0.0</v>
      </c>
      <c r="M16" s="1"/>
      <c r="N16" s="1"/>
      <c r="O16" s="1"/>
      <c r="P16" s="1" t="s">
        <v>39</v>
      </c>
      <c r="Q16" s="23">
        <f>$E$32*(1 - T8/7)</f>
        <v>84</v>
      </c>
      <c r="R16" s="23">
        <f t="shared" ref="R16:X16" si="2">Q16-(84/7)</f>
        <v>72</v>
      </c>
      <c r="S16" s="23">
        <f t="shared" si="2"/>
        <v>60</v>
      </c>
      <c r="T16" s="23">
        <f t="shared" si="2"/>
        <v>48</v>
      </c>
      <c r="U16" s="23">
        <f t="shared" si="2"/>
        <v>36</v>
      </c>
      <c r="V16" s="23">
        <f t="shared" si="2"/>
        <v>24</v>
      </c>
      <c r="W16" s="23">
        <f t="shared" si="2"/>
        <v>12</v>
      </c>
      <c r="X16" s="23">
        <f t="shared" si="2"/>
        <v>0</v>
      </c>
      <c r="Y16" s="23"/>
      <c r="Z16" s="23"/>
    </row>
    <row r="17">
      <c r="A17" s="21"/>
      <c r="B17" s="21"/>
      <c r="C17" s="18" t="s">
        <v>40</v>
      </c>
      <c r="D17" s="20" t="s">
        <v>17</v>
      </c>
      <c r="E17" s="19">
        <v>4.0</v>
      </c>
      <c r="F17" s="19">
        <v>4.0</v>
      </c>
      <c r="G17" s="19">
        <v>4.0</v>
      </c>
      <c r="H17" s="19">
        <v>4.0</v>
      </c>
      <c r="I17" s="19">
        <v>4.0</v>
      </c>
      <c r="J17" s="19">
        <v>4.0</v>
      </c>
      <c r="K17" s="19">
        <v>0.0</v>
      </c>
      <c r="L17" s="20">
        <v>0.0</v>
      </c>
      <c r="M17" s="1"/>
      <c r="N17" s="1"/>
      <c r="O17" s="1"/>
      <c r="P17" s="1"/>
      <c r="Q17" s="1"/>
      <c r="R17" s="1"/>
      <c r="S17" s="23"/>
      <c r="T17" s="23"/>
      <c r="U17" s="23"/>
      <c r="V17" s="23"/>
      <c r="W17" s="23"/>
      <c r="X17" s="23"/>
      <c r="Y17" s="23"/>
      <c r="Z17" s="23"/>
    </row>
    <row r="18">
      <c r="A18" s="21"/>
      <c r="B18" s="21"/>
      <c r="C18" s="18" t="s">
        <v>41</v>
      </c>
      <c r="D18" s="20" t="s">
        <v>17</v>
      </c>
      <c r="E18" s="19">
        <v>4.0</v>
      </c>
      <c r="F18" s="19">
        <v>4.0</v>
      </c>
      <c r="G18" s="19">
        <v>4.0</v>
      </c>
      <c r="H18" s="19">
        <v>4.0</v>
      </c>
      <c r="I18" s="19">
        <v>4.0</v>
      </c>
      <c r="J18" s="19">
        <v>4.0</v>
      </c>
      <c r="K18" s="19">
        <v>0.0</v>
      </c>
      <c r="L18" s="20">
        <v>0.0</v>
      </c>
      <c r="M18" s="1"/>
      <c r="N18" s="1"/>
      <c r="O18" s="1"/>
      <c r="P18" s="1"/>
      <c r="Q18" s="1"/>
      <c r="R18" s="1"/>
      <c r="S18" s="23"/>
      <c r="T18" s="23"/>
      <c r="U18" s="23"/>
      <c r="V18" s="23"/>
      <c r="W18" s="23"/>
      <c r="X18" s="23"/>
      <c r="Y18" s="23"/>
      <c r="Z18" s="23"/>
    </row>
    <row r="19">
      <c r="A19" s="21"/>
      <c r="B19" s="21"/>
      <c r="C19" s="18" t="s">
        <v>42</v>
      </c>
      <c r="D19" s="20" t="s">
        <v>17</v>
      </c>
      <c r="E19" s="19">
        <v>4.0</v>
      </c>
      <c r="F19" s="19">
        <v>4.0</v>
      </c>
      <c r="G19" s="19">
        <v>4.0</v>
      </c>
      <c r="H19" s="19">
        <v>4.0</v>
      </c>
      <c r="I19" s="19">
        <v>4.0</v>
      </c>
      <c r="J19" s="19">
        <v>4.0</v>
      </c>
      <c r="K19" s="19">
        <v>0.0</v>
      </c>
      <c r="L19" s="20">
        <v>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/>
      <c r="B20" s="21"/>
      <c r="C20" s="18" t="s">
        <v>43</v>
      </c>
      <c r="D20" s="20" t="s">
        <v>17</v>
      </c>
      <c r="E20" s="19">
        <v>5.0</v>
      </c>
      <c r="F20" s="19">
        <v>5.0</v>
      </c>
      <c r="G20" s="19">
        <v>5.0</v>
      </c>
      <c r="H20" s="19">
        <v>5.0</v>
      </c>
      <c r="I20" s="19">
        <v>5.0</v>
      </c>
      <c r="J20" s="19">
        <v>5.0</v>
      </c>
      <c r="K20" s="19">
        <v>0.0</v>
      </c>
      <c r="L20" s="20">
        <v>0.0</v>
      </c>
      <c r="M20" s="1"/>
      <c r="N20" s="22"/>
      <c r="O20" s="2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/>
      <c r="B21" s="21"/>
      <c r="C21" s="18" t="s">
        <v>44</v>
      </c>
      <c r="D21" s="20" t="s">
        <v>17</v>
      </c>
      <c r="E21" s="19">
        <v>4.0</v>
      </c>
      <c r="F21" s="19">
        <v>4.0</v>
      </c>
      <c r="G21" s="19">
        <v>4.0</v>
      </c>
      <c r="H21" s="19">
        <v>4.0</v>
      </c>
      <c r="I21" s="19">
        <v>4.0</v>
      </c>
      <c r="J21" s="19">
        <v>4.0</v>
      </c>
      <c r="K21" s="19">
        <v>0.0</v>
      </c>
      <c r="L21" s="20">
        <v>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/>
      <c r="B22" s="21"/>
      <c r="C22" s="18" t="s">
        <v>45</v>
      </c>
      <c r="D22" s="20" t="s">
        <v>17</v>
      </c>
      <c r="E22" s="19">
        <v>4.0</v>
      </c>
      <c r="F22" s="19">
        <v>4.0</v>
      </c>
      <c r="G22" s="19">
        <v>4.0</v>
      </c>
      <c r="H22" s="19">
        <v>4.0</v>
      </c>
      <c r="I22" s="19">
        <v>4.0</v>
      </c>
      <c r="J22" s="19">
        <v>4.0</v>
      </c>
      <c r="K22" s="19">
        <v>0.0</v>
      </c>
      <c r="L22" s="20">
        <v>0.0</v>
      </c>
      <c r="M22" s="1"/>
      <c r="N22" s="22"/>
      <c r="O22" s="1"/>
      <c r="P22" s="23"/>
      <c r="Q22" s="23"/>
      <c r="R22" s="23"/>
      <c r="S22" s="23"/>
      <c r="T22" s="23"/>
      <c r="U22" s="23"/>
      <c r="V22" s="23"/>
      <c r="W22" s="23"/>
      <c r="X22" s="1"/>
      <c r="Y22" s="1"/>
      <c r="Z22" s="1"/>
    </row>
    <row r="23">
      <c r="A23" s="21"/>
      <c r="B23" s="21"/>
      <c r="C23" s="18" t="s">
        <v>46</v>
      </c>
      <c r="D23" s="20" t="s">
        <v>17</v>
      </c>
      <c r="E23" s="19">
        <v>3.0</v>
      </c>
      <c r="F23" s="19">
        <v>3.0</v>
      </c>
      <c r="G23" s="19">
        <v>3.0</v>
      </c>
      <c r="H23" s="19">
        <v>3.0</v>
      </c>
      <c r="I23" s="19">
        <v>3.0</v>
      </c>
      <c r="J23" s="19">
        <v>3.0</v>
      </c>
      <c r="K23" s="19">
        <v>0.0</v>
      </c>
      <c r="L23" s="19">
        <v>0.0</v>
      </c>
      <c r="M23" s="1"/>
      <c r="N23" s="1"/>
      <c r="O23" s="1"/>
      <c r="P23" s="23"/>
      <c r="Q23" s="23"/>
      <c r="R23" s="23"/>
      <c r="S23" s="23"/>
      <c r="T23" s="23"/>
      <c r="U23" s="23"/>
      <c r="V23" s="23"/>
      <c r="W23" s="23"/>
      <c r="X23" s="1"/>
      <c r="Y23" s="1"/>
      <c r="Z23" s="1"/>
    </row>
    <row r="24">
      <c r="A24" s="21"/>
      <c r="B24" s="21"/>
      <c r="C24" s="18" t="s">
        <v>47</v>
      </c>
      <c r="D24" s="20" t="s">
        <v>17</v>
      </c>
      <c r="E24" s="19">
        <v>5.0</v>
      </c>
      <c r="F24" s="19">
        <v>5.0</v>
      </c>
      <c r="G24" s="19">
        <v>5.0</v>
      </c>
      <c r="H24" s="19">
        <v>5.0</v>
      </c>
      <c r="I24" s="19">
        <v>5.0</v>
      </c>
      <c r="J24" s="19">
        <v>5.0</v>
      </c>
      <c r="K24" s="19">
        <v>0.0</v>
      </c>
      <c r="L24" s="19">
        <v>0.0</v>
      </c>
      <c r="M24" s="1"/>
      <c r="N24" s="1"/>
      <c r="O24" s="1"/>
      <c r="P24" s="23"/>
      <c r="Q24" s="23"/>
      <c r="R24" s="23"/>
      <c r="S24" s="23"/>
      <c r="T24" s="23"/>
      <c r="U24" s="23"/>
      <c r="V24" s="23"/>
      <c r="W24" s="23"/>
      <c r="X24" s="1"/>
      <c r="Y24" s="1"/>
      <c r="Z24" s="1"/>
    </row>
    <row r="25">
      <c r="A25" s="21"/>
      <c r="B25" s="21"/>
      <c r="C25" s="18" t="s">
        <v>48</v>
      </c>
      <c r="D25" s="20" t="s">
        <v>17</v>
      </c>
      <c r="E25" s="19">
        <v>4.0</v>
      </c>
      <c r="F25" s="19">
        <v>4.0</v>
      </c>
      <c r="G25" s="19">
        <v>4.0</v>
      </c>
      <c r="H25" s="19">
        <v>4.0</v>
      </c>
      <c r="I25" s="19">
        <v>4.0</v>
      </c>
      <c r="J25" s="19">
        <v>4.0</v>
      </c>
      <c r="K25" s="19">
        <v>0.0</v>
      </c>
      <c r="L25" s="19">
        <v>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/>
      <c r="B26" s="21"/>
      <c r="C26" s="18" t="s">
        <v>49</v>
      </c>
      <c r="D26" s="20" t="s">
        <v>17</v>
      </c>
      <c r="E26" s="19">
        <v>4.0</v>
      </c>
      <c r="F26" s="19">
        <v>4.0</v>
      </c>
      <c r="G26" s="19">
        <v>4.0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/>
      <c r="B27" s="21"/>
      <c r="C27" s="18" t="s">
        <v>50</v>
      </c>
      <c r="D27" s="19" t="s">
        <v>51</v>
      </c>
      <c r="E27" s="19">
        <v>8.0</v>
      </c>
      <c r="F27" s="19">
        <v>8.0</v>
      </c>
      <c r="G27" s="19">
        <v>8.0</v>
      </c>
      <c r="H27" s="19">
        <v>8.0</v>
      </c>
      <c r="I27" s="19">
        <v>8.0</v>
      </c>
      <c r="J27" s="19">
        <v>8.0</v>
      </c>
      <c r="K27" s="19">
        <v>8.0</v>
      </c>
      <c r="L27" s="19">
        <v>0.0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/>
      <c r="B28" s="21"/>
      <c r="C28" s="18" t="s">
        <v>52</v>
      </c>
      <c r="D28" s="19" t="s">
        <v>51</v>
      </c>
      <c r="E28" s="19">
        <v>1.0</v>
      </c>
      <c r="F28" s="19">
        <v>1.0</v>
      </c>
      <c r="G28" s="19">
        <v>1.0</v>
      </c>
      <c r="H28" s="19">
        <v>1.0</v>
      </c>
      <c r="I28" s="19">
        <v>1.0</v>
      </c>
      <c r="J28" s="19">
        <v>1.0</v>
      </c>
      <c r="K28" s="19">
        <v>1.0</v>
      </c>
      <c r="L28" s="19">
        <v>0.0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/>
      <c r="B29" s="21"/>
      <c r="C29" s="18" t="s">
        <v>53</v>
      </c>
      <c r="D29" s="20" t="s">
        <v>54</v>
      </c>
      <c r="E29" s="19">
        <v>1.0</v>
      </c>
      <c r="F29" s="19">
        <v>1.0</v>
      </c>
      <c r="G29" s="19">
        <v>1.0</v>
      </c>
      <c r="H29" s="19">
        <v>1.0</v>
      </c>
      <c r="I29" s="19">
        <v>1.0</v>
      </c>
      <c r="J29" s="19">
        <v>1.0</v>
      </c>
      <c r="K29" s="19">
        <v>1.0</v>
      </c>
      <c r="L29" s="19">
        <v>0.0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/>
      <c r="B30" s="21"/>
      <c r="C30" s="18" t="s">
        <v>55</v>
      </c>
      <c r="D30" s="19" t="s">
        <v>56</v>
      </c>
      <c r="E30" s="19">
        <v>1.0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0.0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2"/>
      <c r="B31" s="12"/>
      <c r="C31" s="18" t="s">
        <v>57</v>
      </c>
      <c r="D31" s="19" t="s">
        <v>58</v>
      </c>
      <c r="E31" s="19">
        <v>1.0</v>
      </c>
      <c r="F31" s="19">
        <v>1.0</v>
      </c>
      <c r="G31" s="19">
        <v>1.0</v>
      </c>
      <c r="H31" s="19">
        <v>1.0</v>
      </c>
      <c r="I31" s="19">
        <v>1.0</v>
      </c>
      <c r="J31" s="19">
        <v>1.0</v>
      </c>
      <c r="K31" s="19">
        <v>1.0</v>
      </c>
      <c r="L31" s="19">
        <v>0.0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4" t="s">
        <v>59</v>
      </c>
      <c r="B32" s="3"/>
      <c r="C32" s="3"/>
      <c r="D32" s="4"/>
      <c r="E32" s="25">
        <f>SUM(E6:E31)</f>
        <v>84</v>
      </c>
      <c r="F32" s="1"/>
      <c r="G32" s="1"/>
      <c r="H32" s="1"/>
      <c r="I32" s="1"/>
      <c r="J32" s="1"/>
      <c r="K32" s="1"/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 t="s">
        <v>60</v>
      </c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</sheetData>
  <mergeCells count="10">
    <mergeCell ref="B4:B5"/>
    <mergeCell ref="A32:D32"/>
    <mergeCell ref="O3:Q3"/>
    <mergeCell ref="A4:A5"/>
    <mergeCell ref="C4:C5"/>
    <mergeCell ref="D4:D5"/>
    <mergeCell ref="E4:E5"/>
    <mergeCell ref="F4:K4"/>
    <mergeCell ref="A6:A31"/>
    <mergeCell ref="B6:B31"/>
  </mergeCells>
  <drawing r:id="rId1"/>
</worksheet>
</file>