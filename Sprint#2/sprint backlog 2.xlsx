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backlog" sheetId="1" r:id="rId5"/>
  </sheets>
  <definedNames/>
  <calcPr/>
</workbook>
</file>

<file path=xl/sharedStrings.xml><?xml version="1.0" encoding="utf-8"?>
<sst xmlns="http://schemas.openxmlformats.org/spreadsheetml/2006/main" count="97" uniqueCount="63">
  <si>
    <t>Volunteer</t>
  </si>
  <si>
    <t>Sprint No.</t>
  </si>
  <si>
    <t>Product Backlog Items</t>
  </si>
  <si>
    <t>Sprint Tasks</t>
  </si>
  <si>
    <t>Initial Estimate of Effort</t>
  </si>
  <si>
    <t>New Estimate of Effort Remaining at The End of Day…</t>
  </si>
  <si>
    <t>No.</t>
  </si>
  <si>
    <t>name</t>
  </si>
  <si>
    <t>Student No.</t>
  </si>
  <si>
    <t>นายธรานนท์ สุขตัว</t>
  </si>
  <si>
    <t>663380387-3</t>
  </si>
  <si>
    <t>15. As a passenger, I want to give a review for each ride that I took to support the community.</t>
  </si>
  <si>
    <t>A-DAPT Blueprint</t>
  </si>
  <si>
    <t>พชธกร,อติชาติ
ธรานนท์์,กิตติพงษ์</t>
  </si>
  <si>
    <t>นายพชธกร ไพรนารี</t>
  </si>
  <si>
    <t>663380607-5</t>
  </si>
  <si>
    <t>Frontend:Rating Logic</t>
  </si>
  <si>
    <t>กิตติพงษ์</t>
  </si>
  <si>
    <t>นายอติชาติ  คงอนันต์</t>
  </si>
  <si>
    <t>663380410-4</t>
  </si>
  <si>
    <t>Frontend:Dynamic Tags Display</t>
  </si>
  <si>
    <t>นางสาวปิยะพร ภูแต้มนิล</t>
  </si>
  <si>
    <t>643021425-1</t>
  </si>
  <si>
    <t>Frontend:Character Counter (500 chars)</t>
  </si>
  <si>
    <t>นายวรชาติ ปัญญา</t>
  </si>
  <si>
    <t>663380399-6</t>
  </si>
  <si>
    <t>Frontend:Skip / Auto-dismiss Logic</t>
  </si>
  <si>
    <t>นายกิตติพงษ์ โครตสา</t>
  </si>
  <si>
    <t>663380588-3</t>
  </si>
  <si>
    <t>Frontend:Validation (Prevent 0 star)</t>
  </si>
  <si>
    <t>Backend &amp; API:POST API /reviews</t>
  </si>
  <si>
    <t>วรชาติ</t>
  </si>
  <si>
    <t>Backend &amp; API:Review Eligibility Check</t>
  </si>
  <si>
    <t>Backend &amp; API:Driver Rating Calculation</t>
  </si>
  <si>
    <t>Team velocity=</t>
  </si>
  <si>
    <t>Backend &amp; API:Anonymization Option</t>
  </si>
  <si>
    <t>Backend &amp; API:Low Rating Notification Trigger</t>
  </si>
  <si>
    <t xml:space="preserve">Burn down chart </t>
  </si>
  <si>
    <t>Day</t>
  </si>
  <si>
    <t>Database:Design reviews schema</t>
  </si>
  <si>
    <t>Actual</t>
  </si>
  <si>
    <t>Testing/robot</t>
  </si>
  <si>
    <t>ธรานนท์์</t>
  </si>
  <si>
    <t>ldeal</t>
  </si>
  <si>
    <t>Test Report</t>
  </si>
  <si>
    <t>User Manual</t>
  </si>
  <si>
    <t>พชธกร</t>
  </si>
  <si>
    <t>Change Log</t>
  </si>
  <si>
    <t>Sprint Backlog</t>
  </si>
  <si>
    <t>อติชาติ</t>
  </si>
  <si>
    <t>11. As a driver, I want to report incidents to the admin and get the update on the filed case.</t>
  </si>
  <si>
    <t>Frontend :Create Incident Form Logic</t>
  </si>
  <si>
    <t>Frontend :File Upload Handling</t>
  </si>
  <si>
    <t>Frontend :Incident Status Tracking UI</t>
  </si>
  <si>
    <t>Frontend :Validation (Required Fields)</t>
  </si>
  <si>
    <t>Backend &amp; API:POST /api/v1/incidents</t>
  </si>
  <si>
    <t>Backend &amp; API:GET Incident by Driver</t>
  </si>
  <si>
    <t>Backend &amp; API:Update Incident Status (Admin)</t>
  </si>
  <si>
    <t>Backend &amp; API:File Storage Integration</t>
  </si>
  <si>
    <t>Backend &amp; API:Notification to Admin</t>
  </si>
  <si>
    <t>Database:Create incidents table schema</t>
  </si>
  <si>
    <t>รวม</t>
  </si>
  <si>
    <t>Day0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</si>
</sst>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7.0"/>
      <color theme="1"/>
      <name val="Sarabun"/>
    </font>
    <font>
      <b/>
      <sz val="17.0"/>
      <color theme="1"/>
      <name val="Sarabun"/>
    </font>
    <font/>
    <font>
      <sz val="11.0"/>
      <color theme="1"/>
      <name val="Calibri"/>
    </font>
    <font>
      <color theme="1"/>
      <name val="Arial"/>
      <scheme val="minor"/>
    </font>
    <font>
      <sz val="10.0"/>
      <color theme="1"/>
      <name val="Sarabun"/>
    </font>
    <font>
      <sz val="10.0"/>
      <color theme="1"/>
      <name val="Arial"/>
      <scheme val="minor"/>
    </font>
    <font>
      <sz val="17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shrinkToFit="0" vertical="bottom" wrapText="1"/>
    </xf>
    <xf borderId="4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bottom" wrapText="1"/>
    </xf>
    <xf borderId="3" fillId="0" fontId="2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/>
    </xf>
    <xf borderId="0" fillId="0" fontId="4" numFmtId="0" xfId="0" applyAlignment="1" applyFont="1">
      <alignment vertical="bottom"/>
    </xf>
    <xf borderId="6" fillId="0" fontId="3" numFmtId="0" xfId="0" applyBorder="1" applyFont="1"/>
    <xf borderId="6" fillId="0" fontId="2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readingOrder="0" vertical="center"/>
    </xf>
    <xf borderId="4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readingOrder="0" shrinkToFit="0" wrapText="1"/>
    </xf>
    <xf borderId="5" fillId="0" fontId="1" numFmtId="0" xfId="0" applyAlignment="1" applyBorder="1" applyFont="1">
      <alignment horizontal="center" readingOrder="0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7" fillId="0" fontId="3" numFmtId="0" xfId="0" applyBorder="1" applyFont="1"/>
    <xf borderId="5" fillId="0" fontId="1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5" numFmtId="0" xfId="0" applyFont="1"/>
    <xf borderId="5" fillId="0" fontId="6" numFmtId="0" xfId="0" applyAlignment="1" applyBorder="1" applyFont="1">
      <alignment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horizontal="center" readingOrder="0"/>
    </xf>
    <xf borderId="5" fillId="0" fontId="8" numFmtId="0" xfId="0" applyAlignment="1" applyBorder="1" applyFont="1">
      <alignment horizontal="center"/>
    </xf>
    <xf borderId="5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Burn down chart 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'sprint backlog'!$Q$17:$R$17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'sprint backlog'!$S$16:$Z$16</c:f>
            </c:strRef>
          </c:cat>
          <c:val>
            <c:numRef>
              <c:f>'sprint backlog'!$S$17:$Z$17</c:f>
              <c:numCache/>
            </c:numRef>
          </c:val>
          <c:smooth val="0"/>
        </c:ser>
        <c:ser>
          <c:idx val="1"/>
          <c:order val="1"/>
          <c:tx>
            <c:strRef>
              <c:f>'sprint backlog'!$Q$18:$R$18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'sprint backlog'!$S$16:$Z$16</c:f>
            </c:strRef>
          </c:cat>
          <c:val>
            <c:numRef>
              <c:f>'sprint backlog'!$S$18:$Z$18</c:f>
              <c:numCache/>
            </c:numRef>
          </c:val>
          <c:smooth val="0"/>
        </c:ser>
        <c:axId val="831377549"/>
        <c:axId val="1568308335"/>
      </c:lineChart>
      <c:catAx>
        <c:axId val="8313775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8308335"/>
      </c:catAx>
      <c:valAx>
        <c:axId val="15683083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13775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104775</xdr:colOff>
      <xdr:row>18</xdr:row>
      <xdr:rowOff>219075</xdr:rowOff>
    </xdr:from>
    <xdr:ext cx="10458450" cy="6467475"/>
    <xdr:graphicFrame>
      <xdr:nvGraphicFramePr>
        <xdr:cNvPr id="1" name="Chart 1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43.88"/>
    <col customWidth="1" min="3" max="3" width="38.5"/>
    <col customWidth="1" min="4" max="5" width="25.0"/>
    <col customWidth="1" min="15" max="15" width="15.5"/>
    <col customWidth="1" min="16" max="16" width="29.25"/>
    <col customWidth="1" min="17" max="17" width="26.5"/>
  </cols>
  <sheetData>
    <row r="1">
      <c r="N1" s="1"/>
      <c r="O1" s="1"/>
      <c r="P1" s="1"/>
      <c r="Q1" s="1"/>
    </row>
    <row r="2">
      <c r="N2" s="1"/>
      <c r="O2" s="1"/>
      <c r="P2" s="1"/>
      <c r="Q2" s="1"/>
    </row>
    <row r="3">
      <c r="N3" s="1"/>
      <c r="O3" s="2" t="s">
        <v>0</v>
      </c>
      <c r="P3" s="3"/>
      <c r="Q3" s="4"/>
    </row>
    <row r="4">
      <c r="A4" s="5" t="s">
        <v>1</v>
      </c>
      <c r="B4" s="5" t="s">
        <v>2</v>
      </c>
      <c r="C4" s="5" t="s">
        <v>3</v>
      </c>
      <c r="D4" s="6" t="s">
        <v>0</v>
      </c>
      <c r="E4" s="5" t="s">
        <v>4</v>
      </c>
      <c r="F4" s="7" t="s">
        <v>5</v>
      </c>
      <c r="G4" s="3"/>
      <c r="H4" s="3"/>
      <c r="I4" s="3"/>
      <c r="J4" s="3"/>
      <c r="K4" s="3"/>
      <c r="L4" s="8"/>
      <c r="N4" s="1"/>
      <c r="O4" s="9" t="s">
        <v>6</v>
      </c>
      <c r="P4" s="10" t="s">
        <v>7</v>
      </c>
      <c r="Q4" s="11" t="s">
        <v>8</v>
      </c>
      <c r="R4" s="12"/>
    </row>
    <row r="5">
      <c r="A5" s="13"/>
      <c r="B5" s="13"/>
      <c r="C5" s="13"/>
      <c r="D5" s="13"/>
      <c r="E5" s="13"/>
      <c r="F5" s="14">
        <v>1.0</v>
      </c>
      <c r="G5" s="14">
        <v>2.0</v>
      </c>
      <c r="H5" s="14">
        <v>3.0</v>
      </c>
      <c r="I5" s="14">
        <v>4.0</v>
      </c>
      <c r="J5" s="14">
        <v>5.0</v>
      </c>
      <c r="K5" s="14">
        <v>6.0</v>
      </c>
      <c r="L5" s="14">
        <v>7.0</v>
      </c>
      <c r="N5" s="1"/>
      <c r="O5" s="9">
        <v>1.0</v>
      </c>
      <c r="P5" s="15" t="s">
        <v>9</v>
      </c>
      <c r="Q5" s="15" t="s">
        <v>10</v>
      </c>
      <c r="R5" s="16"/>
    </row>
    <row r="6">
      <c r="A6" s="17">
        <v>1.0</v>
      </c>
      <c r="B6" s="18" t="s">
        <v>11</v>
      </c>
      <c r="C6" s="19" t="s">
        <v>12</v>
      </c>
      <c r="D6" s="20" t="s">
        <v>13</v>
      </c>
      <c r="E6" s="20">
        <v>4.0</v>
      </c>
      <c r="F6" s="20">
        <v>4.0</v>
      </c>
      <c r="G6" s="21">
        <v>0.0</v>
      </c>
      <c r="H6" s="21">
        <v>0.0</v>
      </c>
      <c r="I6" s="21">
        <v>0.0</v>
      </c>
      <c r="J6" s="21">
        <v>0.0</v>
      </c>
      <c r="K6" s="21">
        <v>0.0</v>
      </c>
      <c r="L6" s="21">
        <v>0.0</v>
      </c>
      <c r="N6" s="1"/>
      <c r="O6" s="9">
        <v>2.0</v>
      </c>
      <c r="P6" s="15" t="s">
        <v>14</v>
      </c>
      <c r="Q6" s="15" t="s">
        <v>15</v>
      </c>
      <c r="R6" s="16"/>
    </row>
    <row r="7">
      <c r="A7" s="22"/>
      <c r="B7" s="22"/>
      <c r="C7" s="19" t="s">
        <v>16</v>
      </c>
      <c r="D7" s="20" t="s">
        <v>17</v>
      </c>
      <c r="E7" s="20">
        <v>4.0</v>
      </c>
      <c r="F7" s="20">
        <v>4.0</v>
      </c>
      <c r="G7" s="20">
        <v>4.0</v>
      </c>
      <c r="H7" s="20">
        <v>4.0</v>
      </c>
      <c r="I7" s="20">
        <v>4.0</v>
      </c>
      <c r="J7" s="20">
        <v>4.0</v>
      </c>
      <c r="K7" s="20">
        <v>4.0</v>
      </c>
      <c r="L7" s="21">
        <v>0.0</v>
      </c>
      <c r="O7" s="9">
        <v>3.0</v>
      </c>
      <c r="P7" s="15" t="s">
        <v>18</v>
      </c>
      <c r="Q7" s="23" t="s">
        <v>19</v>
      </c>
    </row>
    <row r="8">
      <c r="A8" s="22"/>
      <c r="B8" s="22"/>
      <c r="C8" s="19" t="s">
        <v>20</v>
      </c>
      <c r="D8" s="20" t="s">
        <v>17</v>
      </c>
      <c r="E8" s="20">
        <v>3.0</v>
      </c>
      <c r="F8" s="20">
        <v>3.0</v>
      </c>
      <c r="G8" s="20">
        <v>3.0</v>
      </c>
      <c r="H8" s="20">
        <v>3.0</v>
      </c>
      <c r="I8" s="20">
        <v>3.0</v>
      </c>
      <c r="J8" s="20">
        <v>3.0</v>
      </c>
      <c r="K8" s="20">
        <v>3.0</v>
      </c>
      <c r="L8" s="21">
        <v>0.0</v>
      </c>
      <c r="O8" s="9">
        <v>4.0</v>
      </c>
      <c r="P8" s="23" t="s">
        <v>21</v>
      </c>
      <c r="Q8" s="23" t="s">
        <v>22</v>
      </c>
    </row>
    <row r="9">
      <c r="A9" s="22"/>
      <c r="B9" s="22"/>
      <c r="C9" s="19" t="s">
        <v>23</v>
      </c>
      <c r="D9" s="20" t="s">
        <v>17</v>
      </c>
      <c r="E9" s="20">
        <v>2.0</v>
      </c>
      <c r="F9" s="20">
        <v>2.0</v>
      </c>
      <c r="G9" s="20">
        <v>2.0</v>
      </c>
      <c r="H9" s="20">
        <v>2.0</v>
      </c>
      <c r="I9" s="20">
        <v>2.0</v>
      </c>
      <c r="J9" s="20">
        <v>2.0</v>
      </c>
      <c r="K9" s="20">
        <v>2.0</v>
      </c>
      <c r="L9" s="21">
        <v>0.0</v>
      </c>
      <c r="O9" s="9">
        <v>5.0</v>
      </c>
      <c r="P9" s="23" t="s">
        <v>24</v>
      </c>
      <c r="Q9" s="23" t="s">
        <v>25</v>
      </c>
      <c r="R9" s="24"/>
      <c r="S9" s="24"/>
      <c r="T9" s="24"/>
      <c r="U9" s="24"/>
      <c r="V9" s="24"/>
      <c r="W9" s="24"/>
      <c r="X9" s="24"/>
      <c r="Y9" s="24"/>
    </row>
    <row r="10">
      <c r="A10" s="22"/>
      <c r="B10" s="22"/>
      <c r="C10" s="19" t="s">
        <v>26</v>
      </c>
      <c r="D10" s="20" t="s">
        <v>17</v>
      </c>
      <c r="E10" s="20">
        <v>2.0</v>
      </c>
      <c r="F10" s="20">
        <v>2.0</v>
      </c>
      <c r="G10" s="20">
        <v>2.0</v>
      </c>
      <c r="H10" s="20">
        <v>2.0</v>
      </c>
      <c r="I10" s="20">
        <v>2.0</v>
      </c>
      <c r="J10" s="20">
        <v>2.0</v>
      </c>
      <c r="K10" s="20">
        <v>2.0</v>
      </c>
      <c r="L10" s="21">
        <v>0.0</v>
      </c>
      <c r="O10" s="9">
        <v>6.0</v>
      </c>
      <c r="P10" s="23" t="s">
        <v>27</v>
      </c>
      <c r="Q10" s="23" t="s">
        <v>28</v>
      </c>
      <c r="R10" s="24"/>
    </row>
    <row r="11">
      <c r="A11" s="22"/>
      <c r="B11" s="22"/>
      <c r="C11" s="19" t="s">
        <v>29</v>
      </c>
      <c r="D11" s="20" t="s">
        <v>17</v>
      </c>
      <c r="E11" s="20">
        <v>2.0</v>
      </c>
      <c r="F11" s="20">
        <v>2.0</v>
      </c>
      <c r="G11" s="20">
        <v>2.0</v>
      </c>
      <c r="H11" s="20">
        <v>2.0</v>
      </c>
      <c r="I11" s="20">
        <v>2.0</v>
      </c>
      <c r="J11" s="20">
        <v>2.0</v>
      </c>
      <c r="K11" s="20">
        <v>2.0</v>
      </c>
      <c r="L11" s="21">
        <v>0.0</v>
      </c>
      <c r="R11" s="24"/>
    </row>
    <row r="12">
      <c r="A12" s="22"/>
      <c r="B12" s="22"/>
      <c r="C12" s="19" t="s">
        <v>30</v>
      </c>
      <c r="D12" s="20" t="s">
        <v>31</v>
      </c>
      <c r="E12" s="20">
        <v>4.0</v>
      </c>
      <c r="F12" s="20">
        <v>4.0</v>
      </c>
      <c r="G12" s="20">
        <v>4.0</v>
      </c>
      <c r="H12" s="20">
        <v>4.0</v>
      </c>
      <c r="I12" s="20">
        <v>4.0</v>
      </c>
      <c r="J12" s="21">
        <v>0.0</v>
      </c>
      <c r="K12" s="21">
        <v>0.0</v>
      </c>
      <c r="L12" s="21">
        <v>0.0</v>
      </c>
    </row>
    <row r="13">
      <c r="A13" s="22"/>
      <c r="B13" s="22"/>
      <c r="C13" s="19" t="s">
        <v>32</v>
      </c>
      <c r="D13" s="20" t="s">
        <v>31</v>
      </c>
      <c r="E13" s="20">
        <v>4.0</v>
      </c>
      <c r="F13" s="20">
        <v>4.0</v>
      </c>
      <c r="G13" s="20">
        <v>4.0</v>
      </c>
      <c r="H13" s="20">
        <v>4.0</v>
      </c>
      <c r="I13" s="20">
        <v>4.0</v>
      </c>
      <c r="J13" s="20">
        <v>0.0</v>
      </c>
      <c r="K13" s="20">
        <v>0.0</v>
      </c>
      <c r="L13" s="21">
        <v>0.0</v>
      </c>
    </row>
    <row r="14">
      <c r="A14" s="22"/>
      <c r="B14" s="22"/>
      <c r="C14" s="19" t="s">
        <v>33</v>
      </c>
      <c r="D14" s="20" t="s">
        <v>31</v>
      </c>
      <c r="E14" s="20">
        <v>5.0</v>
      </c>
      <c r="F14" s="20">
        <v>5.0</v>
      </c>
      <c r="G14" s="20">
        <v>5.0</v>
      </c>
      <c r="H14" s="20">
        <v>5.0</v>
      </c>
      <c r="I14" s="20">
        <v>5.0</v>
      </c>
      <c r="J14" s="20">
        <v>0.0</v>
      </c>
      <c r="K14" s="20">
        <v>0.0</v>
      </c>
      <c r="L14" s="21">
        <v>0.0</v>
      </c>
      <c r="Q14" s="25" t="s">
        <v>34</v>
      </c>
      <c r="R14" s="26">
        <v>108.0</v>
      </c>
    </row>
    <row r="15">
      <c r="A15" s="22"/>
      <c r="B15" s="22"/>
      <c r="C15" s="19" t="s">
        <v>35</v>
      </c>
      <c r="D15" s="20" t="s">
        <v>31</v>
      </c>
      <c r="E15" s="20">
        <v>3.0</v>
      </c>
      <c r="F15" s="20">
        <v>3.0</v>
      </c>
      <c r="G15" s="20">
        <v>3.0</v>
      </c>
      <c r="H15" s="20">
        <v>3.0</v>
      </c>
      <c r="I15" s="20">
        <v>3.0</v>
      </c>
      <c r="J15" s="20">
        <v>0.0</v>
      </c>
      <c r="K15" s="20">
        <v>0.0</v>
      </c>
      <c r="L15" s="21">
        <v>0.0</v>
      </c>
    </row>
    <row r="16">
      <c r="A16" s="22"/>
      <c r="B16" s="22"/>
      <c r="C16" s="19" t="s">
        <v>36</v>
      </c>
      <c r="D16" s="20" t="s">
        <v>31</v>
      </c>
      <c r="E16" s="20">
        <v>3.0</v>
      </c>
      <c r="F16" s="20">
        <v>3.0</v>
      </c>
      <c r="G16" s="20">
        <v>3.0</v>
      </c>
      <c r="H16" s="20">
        <v>3.0</v>
      </c>
      <c r="I16" s="20">
        <v>3.0</v>
      </c>
      <c r="J16" s="20">
        <v>0.0</v>
      </c>
      <c r="K16" s="20">
        <v>0.0</v>
      </c>
      <c r="L16" s="21">
        <v>0.0</v>
      </c>
      <c r="Q16" s="25" t="s">
        <v>37</v>
      </c>
      <c r="R16" s="27" t="s">
        <v>38</v>
      </c>
      <c r="S16" s="27">
        <v>0.0</v>
      </c>
      <c r="T16" s="27">
        <v>1.0</v>
      </c>
      <c r="U16" s="27">
        <v>2.0</v>
      </c>
      <c r="V16" s="27">
        <v>3.0</v>
      </c>
      <c r="W16" s="27">
        <v>4.0</v>
      </c>
      <c r="X16" s="27">
        <v>5.0</v>
      </c>
      <c r="Y16" s="27">
        <v>6.0</v>
      </c>
      <c r="Z16" s="27">
        <v>7.0</v>
      </c>
    </row>
    <row r="17">
      <c r="A17" s="22"/>
      <c r="B17" s="22"/>
      <c r="C17" s="19" t="s">
        <v>39</v>
      </c>
      <c r="D17" s="20" t="s">
        <v>31</v>
      </c>
      <c r="E17" s="20">
        <v>4.0</v>
      </c>
      <c r="F17" s="20">
        <v>4.0</v>
      </c>
      <c r="G17" s="20">
        <v>4.0</v>
      </c>
      <c r="H17" s="20">
        <v>4.0</v>
      </c>
      <c r="I17" s="20">
        <v>4.0</v>
      </c>
      <c r="J17" s="20">
        <v>0.0</v>
      </c>
      <c r="K17" s="20">
        <v>0.0</v>
      </c>
      <c r="L17" s="21">
        <v>0.0</v>
      </c>
      <c r="R17" s="27" t="s">
        <v>40</v>
      </c>
      <c r="S17" s="28">
        <f t="shared" ref="S17:Z17" si="1">SUM(F6:F38)</f>
        <v>108</v>
      </c>
      <c r="T17" s="28">
        <f t="shared" si="1"/>
        <v>100</v>
      </c>
      <c r="U17" s="28">
        <f t="shared" si="1"/>
        <v>100</v>
      </c>
      <c r="V17" s="28">
        <f t="shared" si="1"/>
        <v>100</v>
      </c>
      <c r="W17" s="28">
        <f t="shared" si="1"/>
        <v>77</v>
      </c>
      <c r="X17" s="28">
        <f t="shared" si="1"/>
        <v>43</v>
      </c>
      <c r="Y17" s="28">
        <f t="shared" si="1"/>
        <v>0</v>
      </c>
      <c r="Z17" s="28">
        <f t="shared" si="1"/>
        <v>0</v>
      </c>
    </row>
    <row r="18">
      <c r="A18" s="22"/>
      <c r="B18" s="22"/>
      <c r="C18" s="19" t="s">
        <v>41</v>
      </c>
      <c r="D18" s="20" t="s">
        <v>42</v>
      </c>
      <c r="E18" s="20">
        <v>8.0</v>
      </c>
      <c r="F18" s="20">
        <v>8.0</v>
      </c>
      <c r="G18" s="20">
        <v>8.0</v>
      </c>
      <c r="H18" s="20">
        <v>8.0</v>
      </c>
      <c r="I18" s="20">
        <v>8.0</v>
      </c>
      <c r="J18" s="20">
        <v>8.0</v>
      </c>
      <c r="K18" s="20">
        <v>8.0</v>
      </c>
      <c r="L18" s="21">
        <v>0.0</v>
      </c>
      <c r="R18" s="27" t="s">
        <v>43</v>
      </c>
      <c r="S18" s="28">
        <f t="shared" ref="S18:Z18" si="2">$E$39*(1 - S16/7)</f>
        <v>108</v>
      </c>
      <c r="T18" s="28">
        <f t="shared" si="2"/>
        <v>92.57142857</v>
      </c>
      <c r="U18" s="28">
        <f t="shared" si="2"/>
        <v>77.14285714</v>
      </c>
      <c r="V18" s="28">
        <f t="shared" si="2"/>
        <v>61.71428571</v>
      </c>
      <c r="W18" s="28">
        <f t="shared" si="2"/>
        <v>46.28571429</v>
      </c>
      <c r="X18" s="28">
        <f t="shared" si="2"/>
        <v>30.85714286</v>
      </c>
      <c r="Y18" s="28">
        <f t="shared" si="2"/>
        <v>15.42857143</v>
      </c>
      <c r="Z18" s="28">
        <f t="shared" si="2"/>
        <v>0</v>
      </c>
    </row>
    <row r="19">
      <c r="A19" s="22"/>
      <c r="B19" s="22"/>
      <c r="C19" s="19" t="s">
        <v>44</v>
      </c>
      <c r="D19" s="20" t="s">
        <v>42</v>
      </c>
      <c r="E19" s="20">
        <v>2.0</v>
      </c>
      <c r="F19" s="20">
        <v>2.0</v>
      </c>
      <c r="G19" s="20">
        <v>2.0</v>
      </c>
      <c r="H19" s="20">
        <v>2.0</v>
      </c>
      <c r="I19" s="20">
        <v>2.0</v>
      </c>
      <c r="J19" s="20">
        <v>2.0</v>
      </c>
      <c r="K19" s="20">
        <v>2.0</v>
      </c>
      <c r="L19" s="21">
        <v>0.0</v>
      </c>
    </row>
    <row r="20">
      <c r="A20" s="22"/>
      <c r="B20" s="22"/>
      <c r="C20" s="19" t="s">
        <v>45</v>
      </c>
      <c r="D20" s="20" t="s">
        <v>46</v>
      </c>
      <c r="E20" s="20">
        <v>2.0</v>
      </c>
      <c r="F20" s="20">
        <v>2.0</v>
      </c>
      <c r="G20" s="20">
        <v>2.0</v>
      </c>
      <c r="H20" s="20">
        <v>2.0</v>
      </c>
      <c r="I20" s="20">
        <v>2.0</v>
      </c>
      <c r="J20" s="20">
        <v>2.0</v>
      </c>
      <c r="K20" s="20">
        <v>2.0</v>
      </c>
      <c r="L20" s="21">
        <v>0.0</v>
      </c>
    </row>
    <row r="21">
      <c r="A21" s="22"/>
      <c r="B21" s="22"/>
      <c r="C21" s="19" t="s">
        <v>47</v>
      </c>
      <c r="D21" s="20" t="s">
        <v>46</v>
      </c>
      <c r="E21" s="20">
        <v>1.0</v>
      </c>
      <c r="F21" s="20">
        <v>1.0</v>
      </c>
      <c r="G21" s="20">
        <v>1.0</v>
      </c>
      <c r="H21" s="20">
        <v>1.0</v>
      </c>
      <c r="I21" s="20">
        <v>1.0</v>
      </c>
      <c r="J21" s="20">
        <v>1.0</v>
      </c>
      <c r="K21" s="20">
        <v>1.0</v>
      </c>
      <c r="L21" s="21">
        <v>0.0</v>
      </c>
    </row>
    <row r="22">
      <c r="A22" s="22"/>
      <c r="B22" s="13"/>
      <c r="C22" s="19" t="s">
        <v>48</v>
      </c>
      <c r="D22" s="20" t="s">
        <v>49</v>
      </c>
      <c r="E22" s="20">
        <v>1.0</v>
      </c>
      <c r="F22" s="20">
        <v>1.0</v>
      </c>
      <c r="G22" s="20">
        <v>1.0</v>
      </c>
      <c r="H22" s="20">
        <v>1.0</v>
      </c>
      <c r="I22" s="20">
        <v>1.0</v>
      </c>
      <c r="J22" s="20">
        <v>1.0</v>
      </c>
      <c r="K22" s="20">
        <v>1.0</v>
      </c>
      <c r="L22" s="21">
        <v>0.0</v>
      </c>
    </row>
    <row r="23">
      <c r="A23" s="22"/>
      <c r="B23" s="18" t="s">
        <v>50</v>
      </c>
      <c r="C23" s="19" t="s">
        <v>12</v>
      </c>
      <c r="D23" s="20" t="s">
        <v>13</v>
      </c>
      <c r="E23" s="20">
        <v>4.0</v>
      </c>
      <c r="F23" s="20">
        <v>4.0</v>
      </c>
      <c r="G23" s="20">
        <v>0.0</v>
      </c>
      <c r="H23" s="20">
        <v>0.0</v>
      </c>
      <c r="I23" s="21">
        <v>0.0</v>
      </c>
      <c r="J23" s="21">
        <v>0.0</v>
      </c>
      <c r="K23" s="21">
        <v>0.0</v>
      </c>
      <c r="L23" s="21">
        <v>0.0</v>
      </c>
    </row>
    <row r="24">
      <c r="A24" s="22"/>
      <c r="B24" s="22"/>
      <c r="C24" s="19" t="s">
        <v>51</v>
      </c>
      <c r="D24" s="20" t="s">
        <v>31</v>
      </c>
      <c r="E24" s="20">
        <v>4.0</v>
      </c>
      <c r="F24" s="20">
        <v>4.0</v>
      </c>
      <c r="G24" s="20">
        <v>4.0</v>
      </c>
      <c r="H24" s="20">
        <v>4.0</v>
      </c>
      <c r="I24" s="20">
        <v>4.0</v>
      </c>
      <c r="J24" s="20">
        <v>4.0</v>
      </c>
      <c r="K24" s="21">
        <v>0.0</v>
      </c>
      <c r="L24" s="21">
        <v>0.0</v>
      </c>
    </row>
    <row r="25">
      <c r="A25" s="22"/>
      <c r="B25" s="22"/>
      <c r="C25" s="29" t="s">
        <v>52</v>
      </c>
      <c r="D25" s="20" t="s">
        <v>31</v>
      </c>
      <c r="E25" s="20">
        <v>4.0</v>
      </c>
      <c r="F25" s="20">
        <v>4.0</v>
      </c>
      <c r="G25" s="20">
        <v>4.0</v>
      </c>
      <c r="H25" s="20">
        <v>4.0</v>
      </c>
      <c r="I25" s="20">
        <v>4.0</v>
      </c>
      <c r="J25" s="20">
        <v>4.0</v>
      </c>
      <c r="K25" s="20">
        <v>0.0</v>
      </c>
      <c r="L25" s="21">
        <v>0.0</v>
      </c>
    </row>
    <row r="26">
      <c r="A26" s="22"/>
      <c r="B26" s="22"/>
      <c r="C26" s="29" t="s">
        <v>53</v>
      </c>
      <c r="D26" s="20" t="s">
        <v>31</v>
      </c>
      <c r="E26" s="20">
        <v>3.0</v>
      </c>
      <c r="F26" s="20">
        <v>3.0</v>
      </c>
      <c r="G26" s="20">
        <v>3.0</v>
      </c>
      <c r="H26" s="20">
        <v>3.0</v>
      </c>
      <c r="I26" s="20">
        <v>3.0</v>
      </c>
      <c r="J26" s="20">
        <v>3.0</v>
      </c>
      <c r="K26" s="21">
        <v>0.0</v>
      </c>
      <c r="L26" s="21">
        <v>0.0</v>
      </c>
    </row>
    <row r="27">
      <c r="A27" s="22"/>
      <c r="B27" s="22"/>
      <c r="C27" s="29" t="s">
        <v>54</v>
      </c>
      <c r="D27" s="20" t="s">
        <v>31</v>
      </c>
      <c r="E27" s="20">
        <v>2.0</v>
      </c>
      <c r="F27" s="20">
        <v>2.0</v>
      </c>
      <c r="G27" s="20">
        <v>2.0</v>
      </c>
      <c r="H27" s="20">
        <v>2.0</v>
      </c>
      <c r="I27" s="20">
        <v>2.0</v>
      </c>
      <c r="J27" s="20">
        <v>2.0</v>
      </c>
      <c r="K27" s="20">
        <v>0.0</v>
      </c>
      <c r="L27" s="21">
        <v>0.0</v>
      </c>
    </row>
    <row r="28">
      <c r="A28" s="22"/>
      <c r="B28" s="22"/>
      <c r="C28" s="30" t="s">
        <v>55</v>
      </c>
      <c r="D28" s="20" t="s">
        <v>31</v>
      </c>
      <c r="E28" s="20">
        <v>4.0</v>
      </c>
      <c r="F28" s="20">
        <v>4.0</v>
      </c>
      <c r="G28" s="20">
        <v>4.0</v>
      </c>
      <c r="H28" s="20">
        <v>4.0</v>
      </c>
      <c r="I28" s="20">
        <v>4.0</v>
      </c>
      <c r="J28" s="20">
        <v>4.0</v>
      </c>
      <c r="K28" s="21">
        <v>0.0</v>
      </c>
      <c r="L28" s="21">
        <v>0.0</v>
      </c>
    </row>
    <row r="29">
      <c r="A29" s="22"/>
      <c r="B29" s="22"/>
      <c r="C29" s="30" t="s">
        <v>56</v>
      </c>
      <c r="D29" s="20" t="s">
        <v>31</v>
      </c>
      <c r="E29" s="20">
        <v>3.0</v>
      </c>
      <c r="F29" s="20">
        <v>3.0</v>
      </c>
      <c r="G29" s="20">
        <v>3.0</v>
      </c>
      <c r="H29" s="20">
        <v>3.0</v>
      </c>
      <c r="I29" s="20">
        <v>3.0</v>
      </c>
      <c r="J29" s="20">
        <v>3.0</v>
      </c>
      <c r="K29" s="21">
        <v>0.0</v>
      </c>
      <c r="L29" s="21">
        <v>0.0</v>
      </c>
    </row>
    <row r="30">
      <c r="A30" s="22"/>
      <c r="B30" s="22"/>
      <c r="C30" s="30" t="s">
        <v>57</v>
      </c>
      <c r="D30" s="20" t="s">
        <v>31</v>
      </c>
      <c r="E30" s="20">
        <v>4.0</v>
      </c>
      <c r="F30" s="20">
        <v>4.0</v>
      </c>
      <c r="G30" s="20">
        <v>4.0</v>
      </c>
      <c r="H30" s="20">
        <v>4.0</v>
      </c>
      <c r="I30" s="20">
        <v>4.0</v>
      </c>
      <c r="J30" s="20">
        <v>4.0</v>
      </c>
      <c r="K30" s="21">
        <v>0.0</v>
      </c>
      <c r="L30" s="21">
        <v>0.0</v>
      </c>
    </row>
    <row r="31">
      <c r="A31" s="22"/>
      <c r="B31" s="22"/>
      <c r="C31" s="30" t="s">
        <v>58</v>
      </c>
      <c r="D31" s="20" t="s">
        <v>31</v>
      </c>
      <c r="E31" s="20">
        <v>4.0</v>
      </c>
      <c r="F31" s="20">
        <v>4.0</v>
      </c>
      <c r="G31" s="20">
        <v>4.0</v>
      </c>
      <c r="H31" s="20">
        <v>4.0</v>
      </c>
      <c r="I31" s="20">
        <v>4.0</v>
      </c>
      <c r="J31" s="20">
        <v>4.0</v>
      </c>
      <c r="K31" s="21">
        <v>0.0</v>
      </c>
      <c r="L31" s="21">
        <v>0.0</v>
      </c>
    </row>
    <row r="32">
      <c r="A32" s="22"/>
      <c r="B32" s="22"/>
      <c r="C32" s="29" t="s">
        <v>59</v>
      </c>
      <c r="D32" s="20" t="s">
        <v>31</v>
      </c>
      <c r="E32" s="20">
        <v>3.0</v>
      </c>
      <c r="F32" s="20">
        <v>3.0</v>
      </c>
      <c r="G32" s="20">
        <v>3.0</v>
      </c>
      <c r="H32" s="20">
        <v>3.0</v>
      </c>
      <c r="I32" s="20">
        <v>3.0</v>
      </c>
      <c r="J32" s="20">
        <v>3.0</v>
      </c>
      <c r="K32" s="21">
        <v>0.0</v>
      </c>
      <c r="L32" s="21">
        <v>0.0</v>
      </c>
    </row>
    <row r="33">
      <c r="A33" s="22"/>
      <c r="B33" s="22"/>
      <c r="C33" s="29" t="s">
        <v>60</v>
      </c>
      <c r="D33" s="20" t="s">
        <v>31</v>
      </c>
      <c r="E33" s="20">
        <v>3.0</v>
      </c>
      <c r="F33" s="20">
        <v>3.0</v>
      </c>
      <c r="G33" s="20">
        <v>3.0</v>
      </c>
      <c r="H33" s="20">
        <v>3.0</v>
      </c>
      <c r="I33" s="20">
        <v>3.0</v>
      </c>
      <c r="J33" s="20">
        <v>3.0</v>
      </c>
      <c r="K33" s="20">
        <v>0.0</v>
      </c>
      <c r="L33" s="21">
        <v>0.0</v>
      </c>
    </row>
    <row r="34">
      <c r="A34" s="22"/>
      <c r="B34" s="22"/>
      <c r="C34" s="19" t="s">
        <v>41</v>
      </c>
      <c r="D34" s="20" t="s">
        <v>42</v>
      </c>
      <c r="E34" s="20">
        <v>10.0</v>
      </c>
      <c r="F34" s="20">
        <v>10.0</v>
      </c>
      <c r="G34" s="20">
        <v>10.0</v>
      </c>
      <c r="H34" s="20">
        <v>10.0</v>
      </c>
      <c r="I34" s="20">
        <v>10.0</v>
      </c>
      <c r="J34" s="20">
        <v>10.0</v>
      </c>
      <c r="K34" s="20">
        <v>10.0</v>
      </c>
      <c r="L34" s="21">
        <v>0.0</v>
      </c>
    </row>
    <row r="35">
      <c r="A35" s="22"/>
      <c r="B35" s="22"/>
      <c r="C35" s="19" t="s">
        <v>44</v>
      </c>
      <c r="D35" s="20" t="s">
        <v>42</v>
      </c>
      <c r="E35" s="20">
        <v>2.0</v>
      </c>
      <c r="F35" s="20">
        <v>2.0</v>
      </c>
      <c r="G35" s="20">
        <v>2.0</v>
      </c>
      <c r="H35" s="20">
        <v>2.0</v>
      </c>
      <c r="I35" s="20">
        <v>2.0</v>
      </c>
      <c r="J35" s="20">
        <v>2.0</v>
      </c>
      <c r="K35" s="20">
        <v>2.0</v>
      </c>
      <c r="L35" s="21">
        <v>0.0</v>
      </c>
    </row>
    <row r="36">
      <c r="A36" s="22"/>
      <c r="B36" s="22"/>
      <c r="C36" s="19" t="s">
        <v>45</v>
      </c>
      <c r="D36" s="20" t="s">
        <v>46</v>
      </c>
      <c r="E36" s="20">
        <v>2.0</v>
      </c>
      <c r="F36" s="20">
        <v>2.0</v>
      </c>
      <c r="G36" s="20">
        <v>2.0</v>
      </c>
      <c r="H36" s="20">
        <v>2.0</v>
      </c>
      <c r="I36" s="20">
        <v>2.0</v>
      </c>
      <c r="J36" s="20">
        <v>2.0</v>
      </c>
      <c r="K36" s="20">
        <v>2.0</v>
      </c>
      <c r="L36" s="21">
        <v>0.0</v>
      </c>
    </row>
    <row r="37">
      <c r="A37" s="22"/>
      <c r="B37" s="22"/>
      <c r="C37" s="19" t="s">
        <v>47</v>
      </c>
      <c r="D37" s="20" t="s">
        <v>46</v>
      </c>
      <c r="E37" s="20">
        <v>1.0</v>
      </c>
      <c r="F37" s="20">
        <v>1.0</v>
      </c>
      <c r="G37" s="20">
        <v>1.0</v>
      </c>
      <c r="H37" s="20">
        <v>1.0</v>
      </c>
      <c r="I37" s="20">
        <v>1.0</v>
      </c>
      <c r="J37" s="20">
        <v>1.0</v>
      </c>
      <c r="K37" s="20">
        <v>1.0</v>
      </c>
      <c r="L37" s="21">
        <v>0.0</v>
      </c>
    </row>
    <row r="38">
      <c r="A38" s="13"/>
      <c r="B38" s="13"/>
      <c r="C38" s="19" t="s">
        <v>48</v>
      </c>
      <c r="D38" s="20" t="s">
        <v>49</v>
      </c>
      <c r="E38" s="20">
        <v>1.0</v>
      </c>
      <c r="F38" s="20">
        <v>1.0</v>
      </c>
      <c r="G38" s="20">
        <v>1.0</v>
      </c>
      <c r="H38" s="20">
        <v>1.0</v>
      </c>
      <c r="I38" s="20">
        <v>1.0</v>
      </c>
      <c r="J38" s="20">
        <v>1.0</v>
      </c>
      <c r="K38" s="20">
        <v>1.0</v>
      </c>
      <c r="L38" s="21">
        <v>0.0</v>
      </c>
    </row>
    <row r="39">
      <c r="A39" s="31" t="s">
        <v>61</v>
      </c>
      <c r="B39" s="3"/>
      <c r="C39" s="3"/>
      <c r="D39" s="4"/>
      <c r="E39" s="32">
        <f>SUM(E6:E38)</f>
        <v>108</v>
      </c>
      <c r="L39" s="33">
        <v>0.0</v>
      </c>
    </row>
    <row r="50">
      <c r="S50" s="27" t="s">
        <v>62</v>
      </c>
    </row>
  </sheetData>
  <mergeCells count="11">
    <mergeCell ref="B4:B5"/>
    <mergeCell ref="C4:C5"/>
    <mergeCell ref="O3:Q3"/>
    <mergeCell ref="A4:A5"/>
    <mergeCell ref="D4:D5"/>
    <mergeCell ref="E4:E5"/>
    <mergeCell ref="F4:K4"/>
    <mergeCell ref="B23:B38"/>
    <mergeCell ref="A6:A38"/>
    <mergeCell ref="A39:D39"/>
    <mergeCell ref="B6:B2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